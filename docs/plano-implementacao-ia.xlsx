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ao geral" sheetId="1" state="visible" r:id="rId1"/>
    <sheet name="Plano da rodada" sheetId="2" state="visible" r:id="rId2"/>
    <sheet name="Acessos e decisoes" sheetId="3" state="visible" r:id="rId3"/>
    <sheet name="Validacao e amostras" sheetId="4" state="visible" r:id="rId4"/>
  </sheets>
  <definedNames>
    <definedName name="_xlnm._FilterDatabase" localSheetId="1" hidden="1">'Plano da rodada'!$A$1:$H$30</definedName>
    <definedName name="_xlnm._FilterDatabase" localSheetId="2" hidden="1">'Acessos e decisoes'!$A$1:$G$9</definedName>
    <definedName name="_xlnm._FilterDatabase" localSheetId="3" hidden="1">'Validacao e amostras'!$A$1:$H$4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53635B"/>
    </font>
    <font>
      <b val="1"/>
      <color rgb="00FFFFFF"/>
    </font>
    <font>
      <b val="1"/>
      <color rgb="00267450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73B32"/>
      </patternFill>
    </fill>
    <fill>
      <patternFill patternType="solid">
        <fgColor rgb="00267450"/>
      </patternFill>
    </fill>
    <fill>
      <patternFill patternType="solid">
        <fgColor rgb="00FFF2CC"/>
      </patternFill>
    </fill>
    <fill>
      <patternFill patternType="solid">
        <fgColor rgb="00F4F7F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4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 wrapText="1"/>
    </xf>
    <xf numFmtId="0" fontId="5" fillId="0" borderId="0" pivotButton="0" quotePrefix="0" xfId="1"/>
    <xf numFmtId="0" fontId="3" fillId="2" borderId="0" applyAlignment="1" pivotButton="0" quotePrefix="0" xfId="0">
      <alignment wrapText="1"/>
    </xf>
  </cellXfs>
  <cellStyles count="2">
    <cellStyle name="Normal" xfId="0" builtinId="0" hidden="0"/>
    <cellStyle name="Hyperlink" xfId="1" builtinId="8" hidden="0"/>
  </cellStyles>
  <dxfs count="6">
    <dxf>
      <fill>
        <patternFill patternType="solid">
          <fgColor rgb="00D9EAD3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lanoImplementacao" displayName="PlanoImplementacao" ref="A1:H30" headerRowCount="1">
  <autoFilter ref="A1:H30"/>
  <tableColumns count="8">
    <tableColumn id="1" name="ID"/>
    <tableColumn id="2" name="Fase"/>
    <tableColumn id="3" name="Tarefa"/>
    <tableColumn id="4" name="Entrega / criterio de conclusao"/>
    <tableColumn id="5" name="Responsavel"/>
    <tableColumn id="6" name="Status"/>
    <tableColumn id="7" name="Prioridade"/>
    <tableColumn id="8" name="Dependencia / observacao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ontesAcessos" displayName="FontesAcessos" ref="A1:G9" headerRowCount="1">
  <autoFilter ref="A1:G9"/>
  <tableColumns count="7">
    <tableColumn id="1" name="Fonte / acesso"/>
    <tableColumn id="2" name="Para que serve"/>
    <tableColumn id="3" name="Cobertura/culturas"/>
    <tableColumn id="4" name="Limite importante"/>
    <tableColumn id="5" name="Custo / requisito"/>
    <tableColumn id="6" name="Link oficial"/>
    <tableColumn id="7" name="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AmostrasCulturas" displayName="AmostrasCulturas" ref="A1:H4" headerRowCount="1">
  <autoFilter ref="A1:H4"/>
  <tableColumns count="8">
    <tableColumn id="1" name="Cultura"/>
    <tableColumn id="2" name="Safra/estagio"/>
    <tableColumn id="3" name="Amostras disponiveis"/>
    <tableColumn id="4" name="Origem/consentimento"/>
    <tableColumn id="5" name="Referencia de campo"/>
    <tableColumn id="6" name="Metrica/criterio"/>
    <tableColumn id="7" name="Status"/>
    <tableColumn id="8" name="Observaco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rasil.mapbiomas.org/iniciativas-e-produtos/cobertura-e-uso-da-terra/agricultura/uso-agricola/" TargetMode="External" Id="rId1" /><Relationship Type="http://schemas.openxmlformats.org/officeDocument/2006/relationships/hyperlink" Target="https://brasil.mapbiomas.org/downloads/mapas-para-download-geotiff/" TargetMode="External" Id="rId2" /><Relationship Type="http://schemas.openxmlformats.org/officeDocument/2006/relationships/hyperlink" Target="https://developers.google.com/earth-engine/guides/transition_to_commercial" TargetMode="External" Id="rId3" /><Relationship Type="http://schemas.openxmlformats.org/officeDocument/2006/relationships/hyperlink" Target="https://sidra.ibge.gov.br/pesquisa/pam/tabelas/" TargetMode="External" Id="rId4" /><Relationship Type="http://schemas.openxmlformats.org/officeDocument/2006/relationships/hyperlink" Target="https://consulta.car.gov.br/" TargetMode="External" Id="rId5" /><Relationship Type="http://schemas.openxmlformats.org/officeDocument/2006/relationships/hyperlink" Target="https://documentation.dataspace.copernicus.eu/APIs/STAC.html" TargetMode="External" Id="rId6" /><Relationship Type="http://schemas.openxmlformats.org/officeDocument/2006/relationships/hyperlink" Target="https://www.agroapi.cnptia.embrapa.br/store/apis/info?name=SATVeg&amp;provider=agroapi&amp;version=v2" TargetMode="External" Id="rId7" /><Relationship Type="http://schemas.openxmlformats.org/officeDocument/2006/relationships/hyperlink" Target="https://www.conab.gov.br/info-agro/safras/graos" TargetMode="External" Id="rId8" /><Relationship Type="http://schemas.openxmlformats.org/officeDocument/2006/relationships/table" Target="/xl/tables/table2.xml" Id="rId9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4" customWidth="1" min="3" max="3"/>
    <col width="27" customWidth="1" min="4" max="4"/>
    <col width="20" customWidth="1" min="5" max="5"/>
    <col width="20" customWidth="1" min="6" max="6"/>
  </cols>
  <sheetData>
    <row r="1" ht="34" customHeight="1">
      <c r="A1" s="1" t="inlineStr">
        <is>
          <t>Rodada de implementação | Descoberta assistida de áreas produtoras</t>
        </is>
      </c>
    </row>
    <row r="2" ht="38" customHeight="1">
      <c r="A2" s="2" t="inlineStr">
        <is>
          <t>Objetivo: localizar e priorizar áreas candidatas de soja, milho e sorgo e reunir evidências revisáveis para validação de lotes. Esta planilha não contém credenciais.</t>
        </is>
      </c>
    </row>
    <row r="4">
      <c r="A4" s="3" t="inlineStr">
        <is>
          <t>Indicador</t>
        </is>
      </c>
      <c r="B4" s="3" t="inlineStr">
        <is>
          <t>Quantidade</t>
        </is>
      </c>
      <c r="D4" s="3" t="inlineStr">
        <is>
          <t>Decisoes que destravam a rodada</t>
        </is>
      </c>
    </row>
    <row r="5" ht="29" customHeight="1">
      <c r="A5" t="inlineStr">
        <is>
          <t>Tarefas registradas</t>
        </is>
      </c>
      <c r="B5" s="4">
        <f>COUNTA('Plano da rodada'!A2:A31)</f>
        <v/>
      </c>
      <c r="D5" s="5" t="inlineStr">
        <is>
          <t>1. Escolher UF/município piloto.</t>
        </is>
      </c>
    </row>
    <row r="6" ht="29" customHeight="1">
      <c r="A6" t="inlineStr">
        <is>
          <t>Feitas</t>
        </is>
      </c>
      <c r="B6" s="4">
        <f>COUNTIF('Plano da rodada'!F2:F31,"Feito")</f>
        <v/>
      </c>
      <c r="D6" s="5" t="inlineStr">
        <is>
          <t>2. Escolher acesso: Earth Engine comercial (pago) ou GeoTIFF regional local.</t>
        </is>
      </c>
    </row>
    <row r="7" ht="29" customHeight="1">
      <c r="A7" t="inlineStr">
        <is>
          <t>Em andamento</t>
        </is>
      </c>
      <c r="B7" s="4">
        <f>COUNTIF('Plano da rodada'!F2:F31,"Em andamento")</f>
        <v/>
      </c>
      <c r="D7" s="5" t="inlineStr">
        <is>
          <t>3. Fornecer amostras verificadas/autorizadas, principalmente para sorgo.</t>
        </is>
      </c>
    </row>
    <row r="8" ht="29" customHeight="1">
      <c r="A8" t="inlineStr">
        <is>
          <t>Aguardando Alytha</t>
        </is>
      </c>
      <c r="B8" s="4">
        <f>COUNTIF('Plano da rodada'!F2:F31,"Aguardando Alytha")</f>
        <v/>
      </c>
      <c r="D8" s="5" t="inlineStr">
        <is>
          <t>4. Aprovar critérios de área candidata e revisão humana.</t>
        </is>
      </c>
    </row>
    <row r="9">
      <c r="A9" t="inlineStr">
        <is>
          <t>Aguardando decisao</t>
        </is>
      </c>
      <c r="B9" s="4">
        <f>COUNTIF('Plano da rodada'!F2:F31,"Aguardando decisao")</f>
        <v/>
      </c>
    </row>
    <row r="10">
      <c r="A10" t="inlineStr">
        <is>
          <t>Bloqueadas</t>
        </is>
      </c>
      <c r="B10" s="4">
        <f>COUNTIF('Plano da rodada'!F2:F31,"Bloqueado")</f>
        <v/>
      </c>
    </row>
    <row r="13">
      <c r="A13" s="3" t="inlineStr">
        <is>
          <t>Legenda de status</t>
        </is>
      </c>
    </row>
    <row r="14">
      <c r="A14" t="inlineStr">
        <is>
          <t>Feito</t>
        </is>
      </c>
      <c r="B14" s="6" t="inlineStr">
        <is>
          <t>Entrega ja existe na PoC/documentacao.</t>
        </is>
      </c>
    </row>
    <row r="15">
      <c r="A15" t="inlineStr">
        <is>
          <t>Em andamento</t>
        </is>
      </c>
      <c r="B15" s="6" t="inlineStr">
        <is>
          <t>Existe base parcial; precisa completar ou validar.</t>
        </is>
      </c>
    </row>
    <row r="16">
      <c r="A16" t="inlineStr">
        <is>
          <t>Aguardando Alytha</t>
        </is>
      </c>
      <c r="B16" s="6" t="inlineStr">
        <is>
          <t>Depende de decisao, dado ou acesso da Alytha.</t>
        </is>
      </c>
    </row>
    <row r="17">
      <c r="A17" t="inlineStr">
        <is>
          <t>Aguardando decisao</t>
        </is>
      </c>
      <c r="B17" s="6" t="inlineStr">
        <is>
          <t>Escolha de rota/custo precisa ser definida.</t>
        </is>
      </c>
    </row>
    <row r="18">
      <c r="A18" t="inlineStr">
        <is>
          <t>Bloqueado</t>
        </is>
      </c>
      <c r="B18" s="6" t="inlineStr">
        <is>
          <t>Nao pode avancar sem prerequisito.</t>
        </is>
      </c>
    </row>
    <row r="19">
      <c r="A19" t="inlineStr">
        <is>
          <t>Nao iniciado</t>
        </is>
      </c>
      <c r="B19" s="6" t="inlineStr">
        <is>
          <t>Ainda nao iniciado.</t>
        </is>
      </c>
    </row>
    <row r="22">
      <c r="A22" s="3" t="inlineStr">
        <is>
          <t>Nota de leitura</t>
        </is>
      </c>
    </row>
    <row r="23">
      <c r="A23" s="7" t="inlineStr">
        <is>
          <t>Uma mancha detectada por satélite é candidata, não prova de fazenda, titularidade, produção ou estoque. Exigir fonte, safra, resolução, incerteza, documentos e revisão antes de usar em decisão comercial.</t>
        </is>
      </c>
    </row>
    <row r="24"/>
  </sheetData>
  <mergeCells count="13">
    <mergeCell ref="A2:F2"/>
    <mergeCell ref="A23:F24"/>
    <mergeCell ref="B19:D19"/>
    <mergeCell ref="B14:D14"/>
    <mergeCell ref="B15:D15"/>
    <mergeCell ref="D5:F5"/>
    <mergeCell ref="A1:F1"/>
    <mergeCell ref="B17:D17"/>
    <mergeCell ref="B18:D18"/>
    <mergeCell ref="D7:F7"/>
    <mergeCell ref="D8:F8"/>
    <mergeCell ref="D6:F6"/>
    <mergeCell ref="B16:D16"/>
  </mergeCells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2" customWidth="1" min="3" max="3"/>
    <col width="54" customWidth="1" min="4" max="4"/>
    <col width="26" customWidth="1" min="5" max="5"/>
    <col width="22" customWidth="1" min="6" max="6"/>
    <col width="14" customWidth="1" min="7" max="7"/>
    <col width="48" customWidth="1" min="8" max="8"/>
  </cols>
  <sheetData>
    <row r="1" ht="32" customHeight="1">
      <c r="A1" s="8" t="inlineStr">
        <is>
          <t>ID</t>
        </is>
      </c>
      <c r="B1" s="8" t="inlineStr">
        <is>
          <t>Fase</t>
        </is>
      </c>
      <c r="C1" s="8" t="inlineStr">
        <is>
          <t>Tarefa</t>
        </is>
      </c>
      <c r="D1" s="8" t="inlineStr">
        <is>
          <t>Entrega / criterio de conclusao</t>
        </is>
      </c>
      <c r="E1" s="8" t="inlineStr">
        <is>
          <t>Responsavel</t>
        </is>
      </c>
      <c r="F1" s="8" t="inlineStr">
        <is>
          <t>Status</t>
        </is>
      </c>
      <c r="G1" s="8" t="inlineStr">
        <is>
          <t>Prioridade</t>
        </is>
      </c>
      <c r="H1" s="8" t="inlineStr">
        <is>
          <t>Dependencia / observacao</t>
        </is>
      </c>
    </row>
    <row r="2" ht="44" customHeight="1">
      <c r="A2" s="9" t="inlineStr">
        <is>
          <t>P01</t>
        </is>
      </c>
      <c r="B2" s="9" t="inlineStr">
        <is>
          <t>Escopo</t>
        </is>
      </c>
      <c r="C2" s="9" t="inlineStr">
        <is>
          <t>Definir recorte piloto: UF/municipio, cultura inicial e safra</t>
        </is>
      </c>
      <c r="D2" s="9" t="inlineStr">
        <is>
          <t>Recorte escrito e aprovado para a primeira busca.</t>
        </is>
      </c>
      <c r="E2" s="9" t="inlineStr">
        <is>
          <t>Alytha</t>
        </is>
      </c>
      <c r="F2" s="9" t="inlineStr">
        <is>
          <t>Aguardando Alytha</t>
        </is>
      </c>
      <c r="G2" s="9" t="inlineStr">
        <is>
          <t>Alta</t>
        </is>
      </c>
      <c r="H2" s="9" t="inlineStr">
        <is>
          <t>Destrava ingestao e validacao.</t>
        </is>
      </c>
    </row>
    <row r="3" ht="44" customHeight="1">
      <c r="A3" s="5" t="inlineStr">
        <is>
          <t>P02</t>
        </is>
      </c>
      <c r="B3" s="5" t="inlineStr">
        <is>
          <t>Escopo</t>
        </is>
      </c>
      <c r="C3" s="5" t="inlineStr">
        <is>
          <t>Definir o que conta como area candidata e tamanho minimo</t>
        </is>
      </c>
      <c r="D3" s="5" t="inlineStr">
        <is>
          <t>Regra documentada para agrupamento de pixels, area minima e exclusoes.</t>
        </is>
      </c>
      <c r="E3" s="5" t="inlineStr">
        <is>
          <t>Alytha + Implementacao</t>
        </is>
      </c>
      <c r="F3" s="5" t="inlineStr">
        <is>
          <t>Nao iniciado</t>
        </is>
      </c>
      <c r="G3" s="5" t="inlineStr">
        <is>
          <t>Alta</t>
        </is>
      </c>
      <c r="H3" s="5" t="inlineStr">
        <is>
          <t>Depende de P01.</t>
        </is>
      </c>
    </row>
    <row r="4" ht="44" customHeight="1">
      <c r="A4" s="9" t="inlineStr">
        <is>
          <t>P03</t>
        </is>
      </c>
      <c r="B4" s="9" t="inlineStr">
        <is>
          <t>Escopo</t>
        </is>
      </c>
      <c r="C4" s="9" t="inlineStr">
        <is>
          <t>Escolher via de acesso aos mapas MapBiomas</t>
        </is>
      </c>
      <c r="D4" s="9" t="inlineStr">
        <is>
          <t>Registrar: Earth Engine comercial (pago) ou GeoTIFF regional para processamento local.</t>
        </is>
      </c>
      <c r="E4" s="9" t="inlineStr">
        <is>
          <t>Alytha</t>
        </is>
      </c>
      <c r="F4" s="9" t="inlineStr">
        <is>
          <t>Aguardando decisao</t>
        </is>
      </c>
      <c r="G4" s="9" t="inlineStr">
        <is>
          <t>Alta</t>
        </is>
      </c>
      <c r="H4" s="9" t="inlineStr">
        <is>
          <t>A chave do Google Maps nao habilita Earth Engine.</t>
        </is>
      </c>
    </row>
    <row r="5" ht="44" customHeight="1">
      <c r="A5" s="5" t="inlineStr">
        <is>
          <t>P04</t>
        </is>
      </c>
      <c r="B5" s="5" t="inlineStr">
        <is>
          <t>Escopo</t>
        </is>
      </c>
      <c r="C5" s="5" t="inlineStr">
        <is>
          <t>Definir culturas e safras do piloto</t>
        </is>
      </c>
      <c r="D5" s="5" t="inlineStr">
        <is>
          <t>Priorizar soja, milho e sorgo; definir primeira/segunda safra e anos-alvo.</t>
        </is>
      </c>
      <c r="E5" s="5" t="inlineStr">
        <is>
          <t>Alytha + Implementacao</t>
        </is>
      </c>
      <c r="F5" s="5" t="inlineStr">
        <is>
          <t>Aguardando Alytha</t>
        </is>
      </c>
      <c r="G5" s="5" t="inlineStr">
        <is>
          <t>Alta</t>
        </is>
      </c>
      <c r="H5" s="5" t="inlineStr">
        <is>
          <t>Sorgo exige fonte/rotulos proprios.</t>
        </is>
      </c>
    </row>
    <row r="6" ht="44" customHeight="1">
      <c r="A6" s="9" t="inlineStr">
        <is>
          <t>P05</t>
        </is>
      </c>
      <c r="B6" s="9" t="inlineStr">
        <is>
          <t>Escopo</t>
        </is>
      </c>
      <c r="C6" s="9" t="inlineStr">
        <is>
          <t>Registrar fontes, capacidades e limites conhecidos</t>
        </is>
      </c>
      <c r="D6" s="9" t="inlineStr">
        <is>
          <t>Nota de arquitetura e limites salva no repositorio.</t>
        </is>
      </c>
      <c r="E6" s="9" t="inlineStr">
        <is>
          <t>Implementacao</t>
        </is>
      </c>
      <c r="F6" s="9" t="inlineStr">
        <is>
          <t>Feito</t>
        </is>
      </c>
      <c r="G6" s="9" t="inlineStr">
        <is>
          <t>Alta</t>
        </is>
      </c>
      <c r="H6" s="9" t="inlineStr">
        <is>
          <t>docs/ai-area-discovery.md</t>
        </is>
      </c>
    </row>
    <row r="7" ht="44" customHeight="1">
      <c r="A7" s="5" t="inlineStr">
        <is>
          <t>D01</t>
        </is>
      </c>
      <c r="B7" s="5" t="inlineStr">
        <is>
          <t>Dados</t>
        </is>
      </c>
      <c r="C7" s="5" t="inlineStr">
        <is>
          <t>Obter mapa MapBiomas da regiao e safra selecionadas</t>
        </is>
      </c>
      <c r="D7" s="5" t="inlineStr">
        <is>
          <t>Raster original, colecao/ano, legenda, licenca e citacao registrados.</t>
        </is>
      </c>
      <c r="E7" s="5" t="inlineStr">
        <is>
          <t>Alytha + Implementacao</t>
        </is>
      </c>
      <c r="F7" s="5" t="inlineStr">
        <is>
          <t>Bloqueado</t>
        </is>
      </c>
      <c r="G7" s="5" t="inlineStr">
        <is>
          <t>Alta</t>
        </is>
      </c>
      <c r="H7" s="5" t="inlineStr">
        <is>
          <t>Depende de P01 e P03.</t>
        </is>
      </c>
    </row>
    <row r="8" ht="44" customHeight="1">
      <c r="A8" s="9" t="inlineStr">
        <is>
          <t>D02</t>
        </is>
      </c>
      <c r="B8" s="9" t="inlineStr">
        <is>
          <t>Dados</t>
        </is>
      </c>
      <c r="C8" s="9" t="inlineStr">
        <is>
          <t>Integrar estatisticas municipais IBGE/SIDRA</t>
        </is>
      </c>
      <c r="D8" s="9" t="inlineStr">
        <is>
          <t>Consulta por cultura/ano/municipio com fonte e data de extracao.</t>
        </is>
      </c>
      <c r="E8" s="9" t="inlineStr">
        <is>
          <t>Implementacao</t>
        </is>
      </c>
      <c r="F8" s="9" t="inlineStr">
        <is>
          <t>Nao iniciado</t>
        </is>
      </c>
      <c r="G8" s="9" t="inlineStr">
        <is>
          <t>Alta</t>
        </is>
      </c>
      <c r="H8" s="9" t="inlineStr">
        <is>
          <t>Contexto regional; nao identifica fazenda.</t>
        </is>
      </c>
    </row>
    <row r="9" ht="44" customHeight="1">
      <c r="A9" s="5" t="inlineStr">
        <is>
          <t>D03</t>
        </is>
      </c>
      <c r="B9" s="5" t="inlineStr">
        <is>
          <t>Dados</t>
        </is>
      </c>
      <c r="C9" s="5" t="inlineStr">
        <is>
          <t>Avaliar geometrias publicas SICAR/CAR para o piloto</t>
        </is>
      </c>
      <c r="D9" s="5" t="inlineStr">
        <is>
          <t>Limites declarados carregados com origem, status e limitacoes visiveis.</t>
        </is>
      </c>
      <c r="E9" s="5" t="inlineStr">
        <is>
          <t>Implementacao</t>
        </is>
      </c>
      <c r="F9" s="5" t="inlineStr">
        <is>
          <t>Nao iniciado</t>
        </is>
      </c>
      <c r="G9" s="5" t="inlineStr">
        <is>
          <t>Media</t>
        </is>
      </c>
      <c r="H9" s="5" t="inlineStr">
        <is>
          <t>Nao representam prova de dominio nem de producao.</t>
        </is>
      </c>
    </row>
    <row r="10" ht="44" customHeight="1">
      <c r="A10" s="9" t="inlineStr">
        <is>
          <t>D04</t>
        </is>
      </c>
      <c r="B10" s="9" t="inlineStr">
        <is>
          <t>Dados</t>
        </is>
      </c>
      <c r="C10" s="9" t="inlineStr">
        <is>
          <t>Conectar monitoramento de imagens Sentinel-2/CDSE</t>
        </is>
      </c>
      <c r="D10" s="9" t="inlineStr">
        <is>
          <t>Serie temporal com datas, nuvens, resolucao e falhas documentadas.</t>
        </is>
      </c>
      <c r="E10" s="9" t="inlineStr">
        <is>
          <t>Implementacao</t>
        </is>
      </c>
      <c r="F10" s="9" t="inlineStr">
        <is>
          <t>Em andamento</t>
        </is>
      </c>
      <c r="G10" s="9" t="inlineStr">
        <is>
          <t>Alta</t>
        </is>
      </c>
      <c r="H10" s="9" t="inlineStr">
        <is>
          <t>PoC ja tem consulta STAC/NDVI; falta validar credenciais e fluxo.</t>
        </is>
      </c>
    </row>
    <row r="11" ht="44" customHeight="1">
      <c r="A11" s="5" t="inlineStr">
        <is>
          <t>D05</t>
        </is>
      </c>
      <c r="B11" s="5" t="inlineStr">
        <is>
          <t>Dados</t>
        </is>
      </c>
      <c r="C11" s="5" t="inlineStr">
        <is>
          <t>Avaliar Sentinel-1 para periodos com muitas nuvens</t>
        </is>
      </c>
      <c r="D11" s="5" t="inlineStr">
        <is>
          <t>Decisao tecnica e teste em area-piloto documentados.</t>
        </is>
      </c>
      <c r="E11" s="5" t="inlineStr">
        <is>
          <t>Implementacao</t>
        </is>
      </c>
      <c r="F11" s="5" t="inlineStr">
        <is>
          <t>Nao iniciado</t>
        </is>
      </c>
      <c r="G11" s="5" t="inlineStr">
        <is>
          <t>Media</t>
        </is>
      </c>
      <c r="H11" s="5" t="inlineStr">
        <is>
          <t>Fase posterior ao Sentinel-2.</t>
        </is>
      </c>
    </row>
    <row r="12" ht="44" customHeight="1">
      <c r="A12" s="9" t="inlineStr">
        <is>
          <t>D06</t>
        </is>
      </c>
      <c r="B12" s="9" t="inlineStr">
        <is>
          <t>Dados</t>
        </is>
      </c>
      <c r="C12" s="9" t="inlineStr">
        <is>
          <t>Levantar rotulos confiaveis de soja, milho e sorgo</t>
        </is>
      </c>
      <c r="D12" s="9" t="inlineStr">
        <is>
          <t>Amostras com geometria, cultura, safra, fonte, autorizacao e revisao agronomica.</t>
        </is>
      </c>
      <c r="E12" s="9" t="inlineStr">
        <is>
          <t>Alytha + agronomista</t>
        </is>
      </c>
      <c r="F12" s="9" t="inlineStr">
        <is>
          <t>Aguardando Alytha</t>
        </is>
      </c>
      <c r="G12" s="9" t="inlineStr">
        <is>
          <t>Alta</t>
        </is>
      </c>
      <c r="H12" s="9" t="inlineStr">
        <is>
          <t>Necessario para treinar e medir modelo; foco especial em sorgo.</t>
        </is>
      </c>
    </row>
    <row r="13" ht="44" customHeight="1">
      <c r="A13" s="5" t="inlineStr">
        <is>
          <t>M01</t>
        </is>
      </c>
      <c r="B13" s="5" t="inlineStr">
        <is>
          <t>Modelo</t>
        </is>
      </c>
      <c r="C13" s="5" t="inlineStr">
        <is>
          <t>Definir esquema de evidencias e proveniencia</t>
        </is>
      </c>
      <c r="D13" s="5" t="inlineStr">
        <is>
          <t>Cada resultado guarda geometria, cultura/safra candidata, fonte, ano, resolucao, metodo e qualidade.</t>
        </is>
      </c>
      <c r="E13" s="5" t="inlineStr">
        <is>
          <t>Implementacao</t>
        </is>
      </c>
      <c r="F13" s="5" t="inlineStr">
        <is>
          <t>Nao iniciado</t>
        </is>
      </c>
      <c r="G13" s="5" t="inlineStr">
        <is>
          <t>Alta</t>
        </is>
      </c>
      <c r="H13" s="5" t="inlineStr">
        <is>
          <t>Base para auditoria e reproducao.</t>
        </is>
      </c>
    </row>
    <row r="14" ht="44" customHeight="1">
      <c r="A14" s="9" t="inlineStr">
        <is>
          <t>M02</t>
        </is>
      </c>
      <c r="B14" s="9" t="inlineStr">
        <is>
          <t>Modelo</t>
        </is>
      </c>
      <c r="C14" s="9" t="inlineStr">
        <is>
          <t>Construir baseline de deteccao de areas candidatas</t>
        </is>
      </c>
      <c r="D14" s="9" t="inlineStr">
        <is>
          <t>Pipeline recorta raster, aplica classes disponiveis e agrupa pixels contiguos.</t>
        </is>
      </c>
      <c r="E14" s="9" t="inlineStr">
        <is>
          <t>Implementacao</t>
        </is>
      </c>
      <c r="F14" s="9" t="inlineStr">
        <is>
          <t>Nao iniciado</t>
        </is>
      </c>
      <c r="G14" s="9" t="inlineStr">
        <is>
          <t>Alta</t>
        </is>
      </c>
      <c r="H14" s="9" t="inlineStr">
        <is>
          <t>Depende de D01. Primeiro baseline explicavel, sem LLM.</t>
        </is>
      </c>
    </row>
    <row r="15" ht="44" customHeight="1">
      <c r="A15" s="5" t="inlineStr">
        <is>
          <t>M03</t>
        </is>
      </c>
      <c r="B15" s="5" t="inlineStr">
        <is>
          <t>Modelo</t>
        </is>
      </c>
      <c r="C15" s="5" t="inlineStr">
        <is>
          <t>Estimar safra e estagio por serie temporal</t>
        </is>
      </c>
      <c r="D15" s="5" t="inlineStr">
        <is>
          <t>Features fenologicas documentadas; resultado expresso como sinal e incerteza.</t>
        </is>
      </c>
      <c r="E15" s="5" t="inlineStr">
        <is>
          <t>Implementacao</t>
        </is>
      </c>
      <c r="F15" s="5" t="inlineStr">
        <is>
          <t>Nao iniciado</t>
        </is>
      </c>
      <c r="G15" s="5" t="inlineStr">
        <is>
          <t>Media</t>
        </is>
      </c>
      <c r="H15" s="5" t="inlineStr">
        <is>
          <t>Depende de D04 e D06.</t>
        </is>
      </c>
    </row>
    <row r="16" ht="44" customHeight="1">
      <c r="A16" s="9" t="inlineStr">
        <is>
          <t>M04</t>
        </is>
      </c>
      <c r="B16" s="9" t="inlineStr">
        <is>
          <t>Modelo</t>
        </is>
      </c>
      <c r="C16" s="9" t="inlineStr">
        <is>
          <t>Tratar sorgo como classe separada apenas com evidencia</t>
        </is>
      </c>
      <c r="D16" s="9" t="inlineStr">
        <is>
          <t>Nao converter classe agregada de outras culturas em sorgo; definir fonte/rotulos alternativos.</t>
        </is>
      </c>
      <c r="E16" s="9" t="inlineStr">
        <is>
          <t>Implementacao + agronomista</t>
        </is>
      </c>
      <c r="F16" s="9" t="inlineStr">
        <is>
          <t>Bloqueado</t>
        </is>
      </c>
      <c r="G16" s="9" t="inlineStr">
        <is>
          <t>Alta</t>
        </is>
      </c>
      <c r="H16" s="9" t="inlineStr">
        <is>
          <t>Bloqueio de dados conhecido.</t>
        </is>
      </c>
    </row>
    <row r="17" ht="44" customHeight="1">
      <c r="A17" s="5" t="inlineStr">
        <is>
          <t>M05</t>
        </is>
      </c>
      <c r="B17" s="5" t="inlineStr">
        <is>
          <t>Modelo</t>
        </is>
      </c>
      <c r="C17" s="5" t="inlineStr">
        <is>
          <t>Calibrar pontuacao e incerteza das candidatas</t>
        </is>
      </c>
      <c r="D17" s="5" t="inlineStr">
        <is>
          <t>Score explicavel por evidencias, cobertura, nuvem, data e qualidade da geometria.</t>
        </is>
      </c>
      <c r="E17" s="5" t="inlineStr">
        <is>
          <t>Implementacao + agronomista</t>
        </is>
      </c>
      <c r="F17" s="5" t="inlineStr">
        <is>
          <t>Nao iniciado</t>
        </is>
      </c>
      <c r="G17" s="5" t="inlineStr">
        <is>
          <t>Alta</t>
        </is>
      </c>
      <c r="H17" s="5" t="inlineStr">
        <is>
          <t>Sem alegar produtividade ou estoque.</t>
        </is>
      </c>
    </row>
    <row r="18" ht="44" customHeight="1">
      <c r="A18" s="9" t="inlineStr">
        <is>
          <t>U01</t>
        </is>
      </c>
      <c r="B18" s="9" t="inlineStr">
        <is>
          <t>Produto</t>
        </is>
      </c>
      <c r="C18" s="9" t="inlineStr">
        <is>
          <t>Transformar Modo I.A em busca estruturada</t>
        </is>
      </c>
      <c r="D18" s="9" t="inlineStr">
        <is>
          <t>Filtros de cultura, safra, UF/municipio, periodo e area de interesse.</t>
        </is>
      </c>
      <c r="E18" s="9" t="inlineStr">
        <is>
          <t>Implementacao</t>
        </is>
      </c>
      <c r="F18" s="9" t="inlineStr">
        <is>
          <t>Em andamento</t>
        </is>
      </c>
      <c r="G18" s="9" t="inlineStr">
        <is>
          <t>Alta</t>
        </is>
      </c>
      <c r="H18" s="9" t="inlineStr">
        <is>
          <t>Hoje existe apenas campo de prompt visual.</t>
        </is>
      </c>
    </row>
    <row r="19" ht="44" customHeight="1">
      <c r="A19" s="5" t="inlineStr">
        <is>
          <t>U02</t>
        </is>
      </c>
      <c r="B19" s="5" t="inlineStr">
        <is>
          <t>Produto</t>
        </is>
      </c>
      <c r="C19" s="5" t="inlineStr">
        <is>
          <t>Exibir manchas candidatas como camada no mapa</t>
        </is>
      </c>
      <c r="D19" s="5" t="inlineStr">
        <is>
          <t>Camada liga/desliga, legenda, fonte, ano e nivel de confianca.</t>
        </is>
      </c>
      <c r="E19" s="5" t="inlineStr">
        <is>
          <t>Implementacao</t>
        </is>
      </c>
      <c r="F19" s="5" t="inlineStr">
        <is>
          <t>Nao iniciado</t>
        </is>
      </c>
      <c r="G19" s="5" t="inlineStr">
        <is>
          <t>Alta</t>
        </is>
      </c>
      <c r="H19" s="5" t="inlineStr">
        <is>
          <t>Mapa continua sem poligono ficticio.</t>
        </is>
      </c>
    </row>
    <row r="20" ht="44" customHeight="1">
      <c r="A20" s="9" t="inlineStr">
        <is>
          <t>U03</t>
        </is>
      </c>
      <c r="B20" s="9" t="inlineStr">
        <is>
          <t>Produto</t>
        </is>
      </c>
      <c r="C20" s="9" t="inlineStr">
        <is>
          <t>Permitir inspecao de area/imovel e evidencias</t>
        </is>
      </c>
      <c r="D20" s="9" t="inlineStr">
        <is>
          <t>Clique mostra estatisticas, datas de imagem, interseccao CAR opcional e alertas.</t>
        </is>
      </c>
      <c r="E20" s="9" t="inlineStr">
        <is>
          <t>Implementacao</t>
        </is>
      </c>
      <c r="F20" s="9" t="inlineStr">
        <is>
          <t>Nao iniciado</t>
        </is>
      </c>
      <c r="G20" s="9" t="inlineStr">
        <is>
          <t>Alta</t>
        </is>
      </c>
      <c r="H20" s="9" t="inlineStr">
        <is>
          <t>Sem inferir nome ou titular do produtor.</t>
        </is>
      </c>
    </row>
    <row r="21" ht="44" customHeight="1">
      <c r="A21" s="5" t="inlineStr">
        <is>
          <t>U04</t>
        </is>
      </c>
      <c r="B21" s="5" t="inlineStr">
        <is>
          <t>Produto</t>
        </is>
      </c>
      <c r="C21" s="5" t="inlineStr">
        <is>
          <t>Comparar lote declarado com evidencias observadas</t>
        </is>
      </c>
      <c r="D21" s="5" t="inlineStr">
        <is>
          <t>Relatorio de divergencias entre cultura, area, safra, periodo e documentos.</t>
        </is>
      </c>
      <c r="E21" s="5" t="inlineStr">
        <is>
          <t>Implementacao + operacao</t>
        </is>
      </c>
      <c r="F21" s="5" t="inlineStr">
        <is>
          <t>Nao iniciado</t>
        </is>
      </c>
      <c r="G21" s="5" t="inlineStr">
        <is>
          <t>Alta</t>
        </is>
      </c>
      <c r="H21" s="5" t="inlineStr">
        <is>
          <t>Depende de fluxo de lote e GeoJSON real autorizado.</t>
        </is>
      </c>
    </row>
    <row r="22" ht="44" customHeight="1">
      <c r="A22" s="9" t="inlineStr">
        <is>
          <t>B01</t>
        </is>
      </c>
      <c r="B22" s="9" t="inlineStr">
        <is>
          <t>Backend</t>
        </is>
      </c>
      <c r="C22" s="9" t="inlineStr">
        <is>
          <t>Criar endpoints de busca e consulta de candidatas</t>
        </is>
      </c>
      <c r="D22" s="9" t="inlineStr">
        <is>
          <t>API valida filtros, limita area/periodo e retorna resultados com fontes.</t>
        </is>
      </c>
      <c r="E22" s="9" t="inlineStr">
        <is>
          <t>Implementacao</t>
        </is>
      </c>
      <c r="F22" s="9" t="inlineStr">
        <is>
          <t>Nao iniciado</t>
        </is>
      </c>
      <c r="G22" s="9" t="inlineStr">
        <is>
          <t>Alta</t>
        </is>
      </c>
      <c r="H22" s="9" t="inlineStr">
        <is>
          <t>Credenciais somente no servidor.</t>
        </is>
      </c>
    </row>
    <row r="23" ht="44" customHeight="1">
      <c r="A23" s="5" t="inlineStr">
        <is>
          <t>B02</t>
        </is>
      </c>
      <c r="B23" s="5" t="inlineStr">
        <is>
          <t>Backend</t>
        </is>
      </c>
      <c r="C23" s="5" t="inlineStr">
        <is>
          <t>Adicionar cache, logs e trilha de auditoria</t>
        </is>
      </c>
      <c r="D23" s="5" t="inlineStr">
        <is>
          <t>Requisicoes e versoes de dados/modelo registradas sem expor segredo.</t>
        </is>
      </c>
      <c r="E23" s="5" t="inlineStr">
        <is>
          <t>Implementacao</t>
        </is>
      </c>
      <c r="F23" s="5" t="inlineStr">
        <is>
          <t>Nao iniciado</t>
        </is>
      </c>
      <c r="G23" s="5" t="inlineStr">
        <is>
          <t>Media</t>
        </is>
      </c>
      <c r="H23" s="5" t="inlineStr">
        <is>
          <t>Definir retencao antes de producao.</t>
        </is>
      </c>
    </row>
    <row r="24" ht="44" customHeight="1">
      <c r="A24" s="9" t="inlineStr">
        <is>
          <t>V01</t>
        </is>
      </c>
      <c r="B24" s="9" t="inlineStr">
        <is>
          <t>Validacao</t>
        </is>
      </c>
      <c r="C24" s="9" t="inlineStr">
        <is>
          <t>Validar soja em amostras independentes</t>
        </is>
      </c>
      <c r="D24" s="9" t="inlineStr">
        <is>
          <t>Matriz de erro, precisao/recall por regiao/safra e revisao humana.</t>
        </is>
      </c>
      <c r="E24" s="9" t="inlineStr">
        <is>
          <t>Alytha + agronomista + Implementacao</t>
        </is>
      </c>
      <c r="F24" s="9" t="inlineStr">
        <is>
          <t>Aguardando Alytha</t>
        </is>
      </c>
      <c r="G24" s="9" t="inlineStr">
        <is>
          <t>Alta</t>
        </is>
      </c>
      <c r="H24" s="9" t="inlineStr">
        <is>
          <t>Usar talhoes com autorizacao e referencia verificavel.</t>
        </is>
      </c>
    </row>
    <row r="25" ht="44" customHeight="1">
      <c r="A25" s="5" t="inlineStr">
        <is>
          <t>V02</t>
        </is>
      </c>
      <c r="B25" s="5" t="inlineStr">
        <is>
          <t>Validacao</t>
        </is>
      </c>
      <c r="C25" s="5" t="inlineStr">
        <is>
          <t>Validar milho em amostras independentes</t>
        </is>
      </c>
      <c r="D25" s="5" t="inlineStr">
        <is>
          <t>Metricas separadas por primeira e segunda safra.</t>
        </is>
      </c>
      <c r="E25" s="5" t="inlineStr">
        <is>
          <t>Alytha + agronomista + Implementacao</t>
        </is>
      </c>
      <c r="F25" s="5" t="inlineStr">
        <is>
          <t>Aguardando Alytha</t>
        </is>
      </c>
      <c r="G25" s="5" t="inlineStr">
        <is>
          <t>Alta</t>
        </is>
      </c>
      <c r="H25" s="5" t="inlineStr">
        <is>
          <t>Nao misturar classes agregadas.</t>
        </is>
      </c>
    </row>
    <row r="26" ht="44" customHeight="1">
      <c r="A26" s="9" t="inlineStr">
        <is>
          <t>V03</t>
        </is>
      </c>
      <c r="B26" s="9" t="inlineStr">
        <is>
          <t>Validacao</t>
        </is>
      </c>
      <c r="C26" s="9" t="inlineStr">
        <is>
          <t>Validar sorgo antes de exibir classificacao especifica</t>
        </is>
      </c>
      <c r="D26" s="9" t="inlineStr">
        <is>
          <t>Amostras independentes e criterio de aceitacao aprovados.</t>
        </is>
      </c>
      <c r="E26" s="9" t="inlineStr">
        <is>
          <t>Alytha + agronomista + Implementacao</t>
        </is>
      </c>
      <c r="F26" s="9" t="inlineStr">
        <is>
          <t>Bloqueado</t>
        </is>
      </c>
      <c r="G26" s="9" t="inlineStr">
        <is>
          <t>Alta</t>
        </is>
      </c>
      <c r="H26" s="9" t="inlineStr">
        <is>
          <t>Sem dados especificos, mostrar inconclusivo.</t>
        </is>
      </c>
    </row>
    <row r="27" ht="44" customHeight="1">
      <c r="A27" s="5" t="inlineStr">
        <is>
          <t>V04</t>
        </is>
      </c>
      <c r="B27" s="5" t="inlineStr">
        <is>
          <t>Validacao</t>
        </is>
      </c>
      <c r="C27" s="5" t="inlineStr">
        <is>
          <t>Definir criterio de revisao humana e relatorio</t>
        </is>
      </c>
      <c r="D27" s="5" t="inlineStr">
        <is>
          <t>Checklist de evidencias, divergencias e decisao do analista.</t>
        </is>
      </c>
      <c r="E27" s="5" t="inlineStr">
        <is>
          <t>Alytha + operacao</t>
        </is>
      </c>
      <c r="F27" s="5" t="inlineStr">
        <is>
          <t>Aguardando Alytha</t>
        </is>
      </c>
      <c r="G27" s="5" t="inlineStr">
        <is>
          <t>Alta</t>
        </is>
      </c>
      <c r="H27" s="5" t="inlineStr">
        <is>
          <t>IA apoia triagem; decisao do lote continua revisavel.</t>
        </is>
      </c>
    </row>
    <row r="28" ht="44" customHeight="1">
      <c r="A28" s="9" t="inlineStr">
        <is>
          <t>V05</t>
        </is>
      </c>
      <c r="B28" s="9" t="inlineStr">
        <is>
          <t>Validacao</t>
        </is>
      </c>
      <c r="C28" s="9" t="inlineStr">
        <is>
          <t>Executar teste integrado em um lote autorizado</t>
        </is>
      </c>
      <c r="D28" s="9" t="inlineStr">
        <is>
          <t>Busca, mapa, imagens, evidencias e relatorio conferidos ponta a ponta.</t>
        </is>
      </c>
      <c r="E28" s="9" t="inlineStr">
        <is>
          <t>Alytha + Implementacao</t>
        </is>
      </c>
      <c r="F28" s="9" t="inlineStr">
        <is>
          <t>Nao iniciado</t>
        </is>
      </c>
      <c r="G28" s="9" t="inlineStr">
        <is>
          <t>Alta</t>
        </is>
      </c>
      <c r="H28" s="9" t="inlineStr">
        <is>
          <t>Depende de dados, amostras e API.</t>
        </is>
      </c>
    </row>
    <row r="29" ht="44" customHeight="1">
      <c r="A29" s="5" t="inlineStr">
        <is>
          <t>G01</t>
        </is>
      </c>
      <c r="B29" s="5" t="inlineStr">
        <is>
          <t>Governanca</t>
        </is>
      </c>
      <c r="C29" s="5" t="inlineStr">
        <is>
          <t>Revisar privacidade, consentimento e uso das fontes</t>
        </is>
      </c>
      <c r="D29" s="5" t="inlineStr">
        <is>
          <t>Regras de acesso, compartilhamento e retencao aprovadas.</t>
        </is>
      </c>
      <c r="E29" s="5" t="inlineStr">
        <is>
          <t>Alytha</t>
        </is>
      </c>
      <c r="F29" s="5" t="inlineStr">
        <is>
          <t>Aguardando Alytha</t>
        </is>
      </c>
      <c r="G29" s="5" t="inlineStr">
        <is>
          <t>Alta</t>
        </is>
      </c>
      <c r="H29" s="5" t="inlineStr">
        <is>
          <t>Coordenadas e documentos nao vao a modelo externo sem decisao especifica.</t>
        </is>
      </c>
    </row>
    <row r="30" ht="44" customHeight="1">
      <c r="A30" s="9" t="inlineStr">
        <is>
          <t>G02</t>
        </is>
      </c>
      <c r="B30" s="9" t="inlineStr">
        <is>
          <t>Governanca</t>
        </is>
      </c>
      <c r="C30" s="9" t="inlineStr">
        <is>
          <t>Manter Serasa Agro como adaptador futuro</t>
        </is>
      </c>
      <c r="D30" s="9" t="inlineStr">
        <is>
          <t>Requisitos de API, contrato, custo e autorizacao mapeados para integracao posterior.</t>
        </is>
      </c>
      <c r="E30" s="9" t="inlineStr">
        <is>
          <t>Alytha</t>
        </is>
      </c>
      <c r="F30" s="9" t="inlineStr">
        <is>
          <t>Nao iniciado</t>
        </is>
      </c>
      <c r="G30" s="9" t="inlineStr">
        <is>
          <t>Baixa</t>
        </is>
      </c>
      <c r="H30" s="9" t="inlineStr">
        <is>
          <t>Plano A futuro, fora do bloqueio do prototipo publico.</t>
        </is>
      </c>
    </row>
  </sheetData>
  <autoFilter ref="A1:H30"/>
  <conditionalFormatting sqref="F2:F30">
    <cfRule type="expression" priority="1" dxfId="0">
      <formula>$F2="Feito"</formula>
    </cfRule>
    <cfRule type="expression" priority="2" dxfId="1">
      <formula>$F2="Em andamento"</formula>
    </cfRule>
    <cfRule type="expression" priority="3" dxfId="2">
      <formula>$F2="Aguardando Alytha"</formula>
    </cfRule>
    <cfRule type="expression" priority="4" dxfId="3">
      <formula>$F2="Aguardando decisao"</formula>
    </cfRule>
    <cfRule type="expression" priority="5" dxfId="4">
      <formula>$F2="Bloqueado"</formula>
    </cfRule>
    <cfRule type="expression" priority="6" dxfId="5">
      <formula>$F2="Nao iniciado"</formula>
    </cfRule>
  </conditionalFormatting>
  <dataValidations count="2">
    <dataValidation sqref="F2:F30" showDropDown="0" showInputMessage="0" showErrorMessage="0" allowBlank="0" type="list">
      <formula1>"Feito,Em andamento,Aguardando Alytha,Aguardando decisao,Bloqueado,Nao iniciado"</formula1>
    </dataValidation>
    <dataValidation sqref="G2:G30" showDropDown="0" showInputMessage="0" showErrorMessage="0" allowBlank="0" type="list">
      <formula1>"Alta,Media,Baixa"</formula1>
    </dataValidation>
  </dataValidations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4" customWidth="1" min="3" max="3"/>
    <col width="52" customWidth="1" min="4" max="4"/>
    <col width="38" customWidth="1" min="5" max="5"/>
    <col width="58" customWidth="1" min="6" max="6"/>
    <col width="23" customWidth="1" min="7" max="7"/>
  </cols>
  <sheetData>
    <row r="1" ht="34" customHeight="1">
      <c r="A1" s="8" t="inlineStr">
        <is>
          <t>Fonte / acesso</t>
        </is>
      </c>
      <c r="B1" s="8" t="inlineStr">
        <is>
          <t>Para que serve</t>
        </is>
      </c>
      <c r="C1" s="8" t="inlineStr">
        <is>
          <t>Cobertura/culturas</t>
        </is>
      </c>
      <c r="D1" s="8" t="inlineStr">
        <is>
          <t>Limite importante</t>
        </is>
      </c>
      <c r="E1" s="8" t="inlineStr">
        <is>
          <t>Custo / requisito</t>
        </is>
      </c>
      <c r="F1" s="8" t="inlineStr">
        <is>
          <t>Link oficial</t>
        </is>
      </c>
      <c r="G1" s="8" t="inlineStr">
        <is>
          <t>Status</t>
        </is>
      </c>
    </row>
    <row r="2" ht="72" customHeight="1">
      <c r="A2" s="5" t="inlineStr">
        <is>
          <t>MapBiomas Uso Agricola</t>
        </is>
      </c>
      <c r="B2" s="5" t="inlineStr">
        <is>
          <t>Mapa historico de lavouras por pixel e safra.</t>
        </is>
      </c>
      <c r="C2" s="5" t="inlineStr">
        <is>
          <t>Soja explicita na 1a safra; milho e classes agregadas na 2a safra.</t>
        </is>
      </c>
      <c r="D2" s="5" t="inlineStr">
        <is>
          <t>30 m; nao revela fazenda, produtor ou estoque. Sorgo sem classe especifica confirmada.</t>
        </is>
      </c>
      <c r="E2" s="5" t="inlineStr">
        <is>
          <t>Aberto, gratuito com atribuicao; plataforma ou GeoTIFF.</t>
        </is>
      </c>
      <c r="F2" s="10" t="inlineStr">
        <is>
          <t>https://brasil.mapbiomas.org/iniciativas-e-produtos/cobertura-e-uso-da-terra/agricultura/uso-agricola/</t>
        </is>
      </c>
      <c r="G2" s="5" t="inlineStr">
        <is>
          <t>A avaliar</t>
        </is>
      </c>
    </row>
    <row r="3" ht="72" customHeight="1">
      <c r="A3" s="5" t="inlineStr">
        <is>
          <t>MapBiomas downloads</t>
        </is>
      </c>
      <c r="B3" s="5" t="inlineStr">
        <is>
          <t>GeoTIFFs anuais e estatisticas.</t>
        </is>
      </c>
      <c r="C3" s="5" t="inlineStr">
        <is>
          <t>Dados de agricultura e uso do solo.</t>
        </is>
      </c>
      <c r="D3" s="5" t="inlineStr">
        <is>
          <t>Mapa nacional pode ser grande; customizacao pode exigir plataforma/GEE.</t>
        </is>
      </c>
      <c r="E3" s="5" t="inlineStr">
        <is>
          <t>Aberto com referencia.</t>
        </is>
      </c>
      <c r="F3" s="10" t="inlineStr">
        <is>
          <t>https://brasil.mapbiomas.org/downloads/mapas-para-download-geotiff/</t>
        </is>
      </c>
      <c r="G3" s="5" t="inlineStr">
        <is>
          <t>A avaliar</t>
        </is>
      </c>
    </row>
    <row r="4" ht="72" customHeight="1">
      <c r="A4" s="5" t="inlineStr">
        <is>
          <t>Google Earth Engine</t>
        </is>
      </c>
      <c r="B4" s="5" t="inlineStr">
        <is>
          <t>Processamento em nuvem de rasters MapBiomas e Sentinel.</t>
        </is>
      </c>
      <c r="C4" s="5" t="inlineStr">
        <is>
          <t>Recorte rapido por regiao e ano.</t>
        </is>
      </c>
      <c r="D4" s="5" t="inlineStr">
        <is>
          <t>Empresa privada usando operacionalmente precisa projeto e plano comercial pago.</t>
        </is>
      </c>
      <c r="E4" s="5" t="inlineStr">
        <is>
          <t>Pago para uso comercial.</t>
        </is>
      </c>
      <c r="F4" s="10" t="inlineStr">
        <is>
          <t>https://developers.google.com/earth-engine/guides/transition_to_commercial</t>
        </is>
      </c>
      <c r="G4" s="5" t="inlineStr">
        <is>
          <t>Aguardando decisao</t>
        </is>
      </c>
    </row>
    <row r="5" ht="72" customHeight="1">
      <c r="A5" s="5" t="inlineStr">
        <is>
          <t>IBGE/SIDRA PAM</t>
        </is>
      </c>
      <c r="B5" s="5" t="inlineStr">
        <is>
          <t>Contexto de producao, area plantada/colhida e rendimento por municipio.</t>
        </is>
      </c>
      <c r="C5" s="5" t="inlineStr">
        <is>
          <t>Soja, milho, sorgo conforme tabelas e anos disponiveis.</t>
        </is>
      </c>
      <c r="D5" s="5" t="inlineStr">
        <is>
          <t>Agregado municipal; nao encontra poligonos de fazenda.</t>
        </is>
      </c>
      <c r="E5" s="5" t="inlineStr">
        <is>
          <t>Dados publicos.</t>
        </is>
      </c>
      <c r="F5" s="10" t="inlineStr">
        <is>
          <t>https://sidra.ibge.gov.br/pesquisa/pam/tabelas/</t>
        </is>
      </c>
      <c r="G5" s="5" t="inlineStr">
        <is>
          <t>A integrar</t>
        </is>
      </c>
    </row>
    <row r="6" ht="72" customHeight="1">
      <c r="A6" s="5" t="inlineStr">
        <is>
          <t>SICAR/CAR</t>
        </is>
      </c>
      <c r="B6" s="5" t="inlineStr">
        <is>
          <t>Poligonos declarados de imoveis rurais para interseccao espacial.</t>
        </is>
      </c>
      <c r="C6" s="5" t="inlineStr">
        <is>
          <t>Pode organizar candidatos dentro de limites cadastrados.</t>
        </is>
      </c>
      <c r="D6" s="5" t="inlineStr">
        <is>
          <t>Autodeclarado; nao prova dominio, posse ou cultura atual; acesso pode ser por municipio.</t>
        </is>
      </c>
      <c r="E6" s="5" t="inlineStr">
        <is>
          <t>Consulta/download publico conforme portal.</t>
        </is>
      </c>
      <c r="F6" s="10" t="inlineStr">
        <is>
          <t>https://consulta.car.gov.br/</t>
        </is>
      </c>
      <c r="G6" s="5" t="inlineStr">
        <is>
          <t>Avaliar no piloto</t>
        </is>
      </c>
    </row>
    <row r="7" ht="72" customHeight="1">
      <c r="A7" s="5" t="inlineStr">
        <is>
          <t>Copernicus Sentinel-2 STAC</t>
        </is>
      </c>
      <c r="B7" s="5" t="inlineStr">
        <is>
          <t>Catalogo e observacoes multitemporais para vigor/fenologia.</t>
        </is>
      </c>
      <c r="C7" s="5" t="inlineStr">
        <is>
          <t>Soja, milho e sorgo como monitoramento de vegetacao, sem classe conclusiva so por NDVI.</t>
        </is>
      </c>
      <c r="D7" s="5" t="inlineStr">
        <is>
          <t>Nuvens, pixel e fase fenologica afetam sinal.</t>
        </is>
      </c>
      <c r="E7" s="5" t="inlineStr">
        <is>
          <t>Catalogo publico; processamento autenticado CDSE ja configurado na PoC.</t>
        </is>
      </c>
      <c r="F7" s="10" t="inlineStr">
        <is>
          <t>https://documentation.dataspace.copernicus.eu/APIs/STAC.html</t>
        </is>
      </c>
      <c r="G7" s="5" t="inlineStr">
        <is>
          <t>Em andamento</t>
        </is>
      </c>
    </row>
    <row r="8" ht="72" customHeight="1">
      <c r="A8" s="5" t="inlineStr">
        <is>
          <t>Embrapa AgroAPI SATVeg</t>
        </is>
      </c>
      <c r="B8" s="5" t="inlineStr">
        <is>
          <t>Serie NDVI/EVI de longo prazo como evidencia complementar.</t>
        </is>
      </c>
      <c r="C8" s="5" t="inlineStr">
        <is>
          <t>Vigor de vegetacao para as culturas.</t>
        </is>
      </c>
      <c r="D8" s="5" t="inlineStr">
        <is>
          <t>MODIS 250 m/16 dias; nao delimita talhoes pequenos; requer token.</t>
        </is>
      </c>
      <c r="E8" s="5" t="inlineStr">
        <is>
          <t>Freemium/token sujeito a condicoes atuais.</t>
        </is>
      </c>
      <c r="F8" s="10" t="inlineStr">
        <is>
          <t>https://www.agroapi.cnptia.embrapa.br/store/apis/info?name=SATVeg&amp;provider=agroapi&amp;version=v2</t>
        </is>
      </c>
      <c r="G8" s="5" t="inlineStr">
        <is>
          <t>Opcional</t>
        </is>
      </c>
    </row>
    <row r="9" ht="72" customHeight="1">
      <c r="A9" s="5" t="inlineStr">
        <is>
          <t>CONAB</t>
        </is>
      </c>
      <c r="B9" s="5" t="inlineStr">
        <is>
          <t>Estimativas e acompanhamento agregado de safra.</t>
        </is>
      </c>
      <c r="C9" s="5" t="inlineStr">
        <is>
          <t>Soja, milho e sorgo.</t>
        </is>
      </c>
      <c r="D9" s="5" t="inlineStr">
        <is>
          <t>Contexto regional; nao prova lote individual.</t>
        </is>
      </c>
      <c r="E9" s="5" t="inlineStr">
        <is>
          <t>Publico.</t>
        </is>
      </c>
      <c r="F9" s="10" t="inlineStr">
        <is>
          <t>https://www.conab.gov.br/info-agro/safras/graos</t>
        </is>
      </c>
      <c r="G9" s="5" t="inlineStr">
        <is>
          <t>Complementar</t>
        </is>
      </c>
    </row>
  </sheetData>
  <autoFilter ref="A1:G9"/>
  <dataValidations count="1">
    <dataValidation sqref="G2:G9" showDropDown="0" showInputMessage="0" showErrorMessage="0" allowBlank="0" type="list">
      <formula1>"A avaliar,Aguardando decisao,A integrar,Em andamento,Opcional,Complementar"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25" right="0.25" top="1" bottom="1" header="0.5" footer="0.5"/>
  <pageSetup fitToHeight="0" fitToWidth="1"/>
  <tableParts count="1">
    <tablePart xmlns:r="http://schemas.openxmlformats.org/officeDocument/2006/relationships" r:id="rId9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4" customWidth="1" min="3" max="3"/>
    <col width="34" customWidth="1" min="4" max="4"/>
    <col width="32" customWidth="1" min="5" max="5"/>
    <col width="34" customWidth="1" min="6" max="6"/>
    <col width="22" customWidth="1" min="7" max="7"/>
    <col width="50" customWidth="1" min="8" max="8"/>
  </cols>
  <sheetData>
    <row r="1">
      <c r="A1" s="11" t="inlineStr">
        <is>
          <t>Cultura</t>
        </is>
      </c>
      <c r="B1" s="11" t="inlineStr">
        <is>
          <t>Safra/estagio</t>
        </is>
      </c>
      <c r="C1" s="11" t="inlineStr">
        <is>
          <t>Amostras disponiveis</t>
        </is>
      </c>
      <c r="D1" s="11" t="inlineStr">
        <is>
          <t>Origem/consentimento</t>
        </is>
      </c>
      <c r="E1" s="11" t="inlineStr">
        <is>
          <t>Referencia de campo</t>
        </is>
      </c>
      <c r="F1" s="11" t="inlineStr">
        <is>
          <t>Metrica/criterio</t>
        </is>
      </c>
      <c r="G1" s="11" t="inlineStr">
        <is>
          <t>Status</t>
        </is>
      </c>
      <c r="H1" s="11" t="inlineStr">
        <is>
          <t>Observacoes</t>
        </is>
      </c>
    </row>
    <row r="2" ht="48" customHeight="1">
      <c r="A2" s="5" t="inlineStr">
        <is>
          <t>Soja</t>
        </is>
      </c>
      <c r="B2" s="5" t="inlineStr"/>
      <c r="C2" s="5" t="inlineStr"/>
      <c r="D2" s="5" t="inlineStr"/>
      <c r="E2" s="5" t="inlineStr"/>
      <c r="F2" s="5" t="inlineStr">
        <is>
          <t>Precisao/recall por regiao e safra</t>
        </is>
      </c>
      <c r="G2" s="5" t="inlineStr">
        <is>
          <t>Aguardando Alytha</t>
        </is>
      </c>
      <c r="H2" s="5" t="inlineStr">
        <is>
          <t>Definir regiao, safra e geometria de referencia.</t>
        </is>
      </c>
    </row>
    <row r="3" ht="48" customHeight="1">
      <c r="A3" s="5" t="inlineStr">
        <is>
          <t>Milho</t>
        </is>
      </c>
      <c r="B3" s="5" t="inlineStr"/>
      <c r="C3" s="5" t="inlineStr"/>
      <c r="D3" s="5" t="inlineStr"/>
      <c r="E3" s="5" t="inlineStr"/>
      <c r="F3" s="5" t="inlineStr">
        <is>
          <t>Precisao/recall por regiao e safra</t>
        </is>
      </c>
      <c r="G3" s="5" t="inlineStr">
        <is>
          <t>Aguardando Alytha</t>
        </is>
      </c>
      <c r="H3" s="5" t="inlineStr">
        <is>
          <t>Separar primeira e segunda safra.</t>
        </is>
      </c>
    </row>
    <row r="4" ht="48" customHeight="1">
      <c r="A4" s="5" t="inlineStr">
        <is>
          <t>Sorgo</t>
        </is>
      </c>
      <c r="B4" s="5" t="inlineStr"/>
      <c r="C4" s="5" t="inlineStr"/>
      <c r="D4" s="5" t="inlineStr"/>
      <c r="E4" s="5" t="inlineStr"/>
      <c r="F4" s="5" t="inlineStr">
        <is>
          <t>Precisao/recall por regiao e safra</t>
        </is>
      </c>
      <c r="G4" s="5" t="inlineStr">
        <is>
          <t>Bloqueado</t>
        </is>
      </c>
      <c r="H4" s="5" t="inlineStr">
        <is>
          <t>Exigir rotulos especificos; nao herdar classe agregada.</t>
        </is>
      </c>
    </row>
  </sheetData>
  <autoFilter ref="A1:H4"/>
  <dataValidations count="1">
    <dataValidation sqref="G2:G4" showDropDown="0" showInputMessage="0" showErrorMessage="0" allowBlank="0" type="list">
      <formula1>"Aguardando Alytha,Em andamento,Bloqueado,Pronto para validar,Validado"</formula1>
    </dataValidation>
  </dataValidations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2026-10-07T20:10:54Z</dcterms:created>
  <dcterms:modified xsi:type="dcterms:W3CDTF">2026-10-07T20:10:54Z</dcterms:modified>
</cp:coreProperties>
</file>